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гальний список" sheetId="1" r:id="rId4"/>
    <sheet state="visible" name="Чернівецькі" sheetId="2" r:id="rId5"/>
  </sheets>
  <definedNames/>
  <calcPr/>
</workbook>
</file>

<file path=xl/sharedStrings.xml><?xml version="1.0" encoding="utf-8"?>
<sst xmlns="http://schemas.openxmlformats.org/spreadsheetml/2006/main" count="185" uniqueCount="157">
  <si>
    <t>Джерело: Opendatabot
Дані: 2024 звітний рік</t>
  </si>
  <si>
    <t>у млн.грн.</t>
  </si>
  <si>
    <t>у тис.грн.</t>
  </si>
  <si>
    <t>Назва</t>
  </si>
  <si>
    <t>ЄДРПОУ</t>
  </si>
  <si>
    <t>Місто</t>
  </si>
  <si>
    <t>Дохід</t>
  </si>
  <si>
    <t>Активи</t>
  </si>
  <si>
    <t>Працівники</t>
  </si>
  <si>
    <t>Маржа чистого прибутку</t>
  </si>
  <si>
    <t>Оборотність активів</t>
  </si>
  <si>
    <t>Рентабельність активів (ROA)</t>
  </si>
  <si>
    <t>Левередж (D/E)</t>
  </si>
  <si>
    <t>Дохід на працівника</t>
  </si>
  <si>
    <t>Активи на працівника</t>
  </si>
  <si>
    <t>Чистий прибуток</t>
  </si>
  <si>
    <t>Зобов'язання</t>
  </si>
  <si>
    <t>Кількість працівників</t>
  </si>
  <si>
    <t>Середні значення</t>
  </si>
  <si>
    <t>КП МТК «КАЛИНІВСЬКИЙ РИНОК»</t>
  </si>
  <si>
    <t>Чернівці</t>
  </si>
  <si>
    <t>205355000</t>
  </si>
  <si>
    <t>29194000</t>
  </si>
  <si>
    <t>267640000</t>
  </si>
  <si>
    <t>17971000</t>
  </si>
  <si>
    <t>КП «ВО­ЛО­ДИ­МИР­СЬКИЙ РИНОК»</t>
  </si>
  <si>
    <t>Київ</t>
  </si>
  <si>
    <t>49636000</t>
  </si>
  <si>
    <t>1124000</t>
  </si>
  <si>
    <t>285117000</t>
  </si>
  <si>
    <t>6172000</t>
  </si>
  <si>
    <t>КП «ЖИТНІЙ РИНОК»</t>
  </si>
  <si>
    <t>9780000</t>
  </si>
  <si>
    <t>-2327000</t>
  </si>
  <si>
    <t>355459000</t>
  </si>
  <si>
    <t>4389000</t>
  </si>
  <si>
    <t>КП «БЕССАРАБСЬКИЙ РИНОК»</t>
  </si>
  <si>
    <t>15377000</t>
  </si>
  <si>
    <t>195000</t>
  </si>
  <si>
    <t>327354000</t>
  </si>
  <si>
    <t>8178000</t>
  </si>
  <si>
    <t>КП «ЗАПОРІЖРИНОК»</t>
  </si>
  <si>
    <t>Запоріжжя</t>
  </si>
  <si>
    <t>42328000</t>
  </si>
  <si>
    <t>2820000</t>
  </si>
  <si>
    <t>59988000</t>
  </si>
  <si>
    <t>7085000</t>
  </si>
  <si>
    <t>КП «МАЛИНОВСЬКИЙ РИНОК»</t>
  </si>
  <si>
    <t>Одеса</t>
  </si>
  <si>
    <t>24765000</t>
  </si>
  <si>
    <t>1642000</t>
  </si>
  <si>
    <t>6577000</t>
  </si>
  <si>
    <t>1972000</t>
  </si>
  <si>
    <t>МКП-РИНОК «РАНКОВИЙ»</t>
  </si>
  <si>
    <t>Хмельницький</t>
  </si>
  <si>
    <t>21757800</t>
  </si>
  <si>
    <t>11000</t>
  </si>
  <si>
    <t>17881100</t>
  </si>
  <si>
    <t>2194700</t>
  </si>
  <si>
    <t>КП «МУНІЦИПАЛЬНІ РИНКИ»</t>
  </si>
  <si>
    <t>Івано-Франківськ</t>
  </si>
  <si>
    <t>4864700</t>
  </si>
  <si>
    <t>78300</t>
  </si>
  <si>
    <t>100103000</t>
  </si>
  <si>
    <t>47400</t>
  </si>
  <si>
    <t>КП «ЛУЦЬКІ РИНКИ»</t>
  </si>
  <si>
    <t>Луцьк</t>
  </si>
  <si>
    <t>3471000</t>
  </si>
  <si>
    <t>718100</t>
  </si>
  <si>
    <t>5132800</t>
  </si>
  <si>
    <t>314900</t>
  </si>
  <si>
    <t>КП «ДРОГОБИЦЬКИЙ РИНОК»</t>
  </si>
  <si>
    <t>Дрогобич</t>
  </si>
  <si>
    <t>16502600</t>
  </si>
  <si>
    <t>853800</t>
  </si>
  <si>
    <t>6586000</t>
  </si>
  <si>
    <t>1208200</t>
  </si>
  <si>
    <t>КП «КОМУНАЛЬНИЙ РИНОК»</t>
  </si>
  <si>
    <t>Ніжин</t>
  </si>
  <si>
    <t>10969400</t>
  </si>
  <si>
    <t>173400</t>
  </si>
  <si>
    <t>8340200</t>
  </si>
  <si>
    <t>1248800</t>
  </si>
  <si>
    <t>КП «КОЛОМИЙСЬКИЙ ЦЕНТРАЛЬНИЙ ...»</t>
  </si>
  <si>
    <t>Коломия</t>
  </si>
  <si>
    <t>7681300</t>
  </si>
  <si>
    <t>82300</t>
  </si>
  <si>
    <t>2721200</t>
  </si>
  <si>
    <t>377300</t>
  </si>
  <si>
    <t>КП «РИНОК ХОТИНСЬКОЇ МІСЬКОЇ РАДИ»</t>
  </si>
  <si>
    <t>Хотин</t>
  </si>
  <si>
    <t>1770700</t>
  </si>
  <si>
    <t>78000</t>
  </si>
  <si>
    <t>1549800</t>
  </si>
  <si>
    <t>559400</t>
  </si>
  <si>
    <t>ТОВ «ІНВЕСТ АЛЬЯНС» (Добробут)</t>
  </si>
  <si>
    <t>73232000</t>
  </si>
  <si>
    <t>8386000</t>
  </si>
  <si>
    <t>143584000</t>
  </si>
  <si>
    <t>60248000</t>
  </si>
  <si>
    <t>ТОВ «РИНОК ГОЛОВНИЙ» (Ентузіастів)</t>
  </si>
  <si>
    <t>8575600</t>
  </si>
  <si>
    <t>-583300</t>
  </si>
  <si>
    <t>2772700</t>
  </si>
  <si>
    <t>1141100</t>
  </si>
  <si>
    <t>МКП «ГАЗ­КОМ­ПЛЕ­КТ­ПРИ­ЛАД» (Шухевича)</t>
  </si>
  <si>
    <t>6166700</t>
  </si>
  <si>
    <t>256800</t>
  </si>
  <si>
    <t>1669600</t>
  </si>
  <si>
    <t>287300</t>
  </si>
  <si>
    <t>СП «РИНОК БУКОВИНСЬКИЙ» (Черемош)</t>
  </si>
  <si>
    <t>5490800</t>
  </si>
  <si>
    <t>-554500</t>
  </si>
  <si>
    <t>860600</t>
  </si>
  <si>
    <t>824400</t>
  </si>
  <si>
    <t>ТОВ «ФОРМАРКЕТ»</t>
  </si>
  <si>
    <t>3018900</t>
  </si>
  <si>
    <t>386900</t>
  </si>
  <si>
    <t>7604300</t>
  </si>
  <si>
    <t>4227900</t>
  </si>
  <si>
    <t>ТЗОВ «...ОБЛА­ГРО­ПО­СТА­ЧСЕР­ВІС» (Зелена)</t>
  </si>
  <si>
    <t>1819700</t>
  </si>
  <si>
    <t>286300</t>
  </si>
  <si>
    <t>862000</t>
  </si>
  <si>
    <t>783500</t>
  </si>
  <si>
    <t>Дохід у млн.грн.</t>
  </si>
  <si>
    <t>Юридична особа</t>
  </si>
  <si>
    <t>Ринок</t>
  </si>
  <si>
    <t>"Калинка"</t>
  </si>
  <si>
    <t xml:space="preserve">155903000	</t>
  </si>
  <si>
    <t xml:space="preserve">188251000	</t>
  </si>
  <si>
    <t xml:space="preserve">ТОВ «ІНВЕСТ АЛЬЯНС» </t>
  </si>
  <si>
    <t>"Добробут"</t>
  </si>
  <si>
    <t>62063000</t>
  </si>
  <si>
    <t>70558000</t>
  </si>
  <si>
    <t>ТОВ «РИНОК ГОЛОВНИЙ»</t>
  </si>
  <si>
    <t>"Ентузіастів"</t>
  </si>
  <si>
    <t>8004600</t>
  </si>
  <si>
    <t>9522100</t>
  </si>
  <si>
    <t xml:space="preserve">МКП «ГАЗ­КОМ­ПЛЕ­КТ­ПРИ­ЛАД» </t>
  </si>
  <si>
    <t>"Шухевича"</t>
  </si>
  <si>
    <t>4347700</t>
  </si>
  <si>
    <t>5056700</t>
  </si>
  <si>
    <t xml:space="preserve">СП «РИНОК БУКОВИНСЬКИЙ» </t>
  </si>
  <si>
    <t>"Черемош"</t>
  </si>
  <si>
    <t>3623100</t>
  </si>
  <si>
    <t>4661100</t>
  </si>
  <si>
    <t>"Формаркет"</t>
  </si>
  <si>
    <t>2312800</t>
  </si>
  <si>
    <t xml:space="preserve">2188500	</t>
  </si>
  <si>
    <t xml:space="preserve">ТЗОВ «...ОБЛА­ГРО­ПО­СТА­ЧСЕР­ВІС» </t>
  </si>
  <si>
    <t>"Зелена"</t>
  </si>
  <si>
    <t>1186200</t>
  </si>
  <si>
    <t xml:space="preserve">1465000	</t>
  </si>
  <si>
    <t>2023 / 2022</t>
  </si>
  <si>
    <t>2024 / 2023</t>
  </si>
  <si>
    <t>Ріст доходів відносно попереднього року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</si>
</sst>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0.0%"/>
  </numFmts>
  <fonts count="17">
    <font>
      <sz val="10.0"/>
      <color rgb="FF000000"/>
      <name val="Roboto"/>
      <scheme val="minor"/>
    </font>
    <font>
      <color theme="1"/>
      <name val="Arial"/>
    </font>
    <font>
      <b/>
      <sz val="9.0"/>
      <color rgb="FF999999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8.0"/>
      <color rgb="FF1155CC"/>
      <name val="Arial"/>
    </font>
    <font>
      <b/>
      <i/>
      <sz val="8.0"/>
      <color rgb="FF134F5C"/>
      <name val="Arial"/>
    </font>
    <font>
      <b/>
      <i/>
      <sz val="8.0"/>
      <color rgb="FF0D363F"/>
      <name val="Arial"/>
    </font>
    <font>
      <sz val="8.0"/>
      <color theme="1"/>
      <name val="Arial"/>
    </font>
    <font>
      <b/>
      <i/>
      <sz val="8.0"/>
      <color theme="1"/>
      <name val="Arial"/>
    </font>
    <font>
      <b/>
      <i/>
      <sz val="8.0"/>
      <color rgb="FF1155CC"/>
      <name val="Arial"/>
    </font>
    <font>
      <b/>
      <i/>
      <sz val="8.0"/>
      <color rgb="FF134F66"/>
      <name val="Arial"/>
    </font>
    <font>
      <b/>
      <color rgb="FF1155CC"/>
      <name val="Arial"/>
    </font>
    <font>
      <b/>
      <color rgb="FF134F66"/>
      <name val="Arial"/>
    </font>
    <font>
      <b/>
      <color rgb="FF0D363F"/>
      <name val="Arial"/>
    </font>
    <font>
      <b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right" vertical="center"/>
    </xf>
    <xf borderId="0" fillId="0" fontId="11" numFmtId="9" xfId="0" applyAlignment="1" applyFont="1" applyNumberFormat="1">
      <alignment horizontal="right" vertical="center"/>
    </xf>
    <xf borderId="0" fillId="0" fontId="11" numFmtId="164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vertical="center"/>
    </xf>
    <xf borderId="0" fillId="0" fontId="12" numFmtId="164" xfId="0" applyAlignment="1" applyFont="1" applyNumberFormat="1">
      <alignment horizontal="right" vertical="center"/>
    </xf>
    <xf borderId="0" fillId="0" fontId="12" numFmtId="0" xfId="0" applyAlignment="1" applyFont="1">
      <alignment horizontal="right" vertical="center"/>
    </xf>
    <xf borderId="0" fillId="0" fontId="13" numFmtId="9" xfId="0" applyAlignment="1" applyFont="1" applyNumberFormat="1">
      <alignment horizontal="right" vertical="center"/>
    </xf>
    <xf borderId="0" fillId="0" fontId="13" numFmtId="2" xfId="0" applyAlignment="1" applyFont="1" applyNumberFormat="1">
      <alignment horizontal="right" vertical="center"/>
    </xf>
    <xf borderId="0" fillId="0" fontId="14" numFmtId="1" xfId="0" applyAlignment="1" applyFont="1" applyNumberFormat="1">
      <alignment horizontal="right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1" numFmtId="4" xfId="0" applyAlignment="1" applyFont="1" applyNumberForma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'Чернівецькі'!$E$11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'Чернівецькі'!$D$12:$D$18</c:f>
            </c:strRef>
          </c:cat>
          <c:val>
            <c:numRef>
              <c:f>'Чернівецькі'!$E$12:$E$18</c:f>
              <c:numCache/>
            </c:numRef>
          </c:val>
        </c:ser>
        <c:ser>
          <c:idx val="1"/>
          <c:order val="1"/>
          <c:tx>
            <c:strRef>
              <c:f>'Чернівецькі'!$F$11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'Чернівецькі'!$D$12:$D$18</c:f>
            </c:strRef>
          </c:cat>
          <c:val>
            <c:numRef>
              <c:f>'Чернівецькі'!$F$12:$F$18</c:f>
              <c:numCache/>
            </c:numRef>
          </c:val>
        </c:ser>
        <c:axId val="1358232449"/>
        <c:axId val="42454873"/>
      </c:barChart>
      <c:catAx>
        <c:axId val="1358232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454873"/>
      </c:catAx>
      <c:valAx>
        <c:axId val="42454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82324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666750</xdr:colOff>
      <xdr:row>10</xdr:row>
      <xdr:rowOff>266700</xdr:rowOff>
    </xdr:from>
    <xdr:ext cx="6819900" cy="35718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AF6"/>
      </a:lt1>
      <a:dk2>
        <a:srgbClr val="000000"/>
      </a:dk2>
      <a:lt2>
        <a:srgbClr val="FFFAF6"/>
      </a:lt2>
      <a:accent1>
        <a:srgbClr val="B4A7D6"/>
      </a:accent1>
      <a:accent2>
        <a:srgbClr val="3D85C6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38.5"/>
    <col customWidth="1" min="3" max="3" width="11.75"/>
    <col customWidth="1" min="4" max="4" width="14.25"/>
    <col customWidth="1" min="5" max="13" width="12.38"/>
    <col customWidth="1" min="14" max="14" width="9.25"/>
  </cols>
  <sheetData>
    <row r="1" ht="27.0" customHeight="1">
      <c r="A1" s="1"/>
      <c r="B1" s="2" t="s">
        <v>0</v>
      </c>
      <c r="C1" s="3"/>
      <c r="D1" s="3"/>
      <c r="E1" s="2" t="s">
        <v>1</v>
      </c>
      <c r="F1" s="1"/>
      <c r="G1" s="1"/>
      <c r="H1" s="1"/>
      <c r="I1" s="1"/>
      <c r="J1" s="1"/>
      <c r="K1" s="1"/>
      <c r="L1" s="2" t="s">
        <v>2</v>
      </c>
      <c r="M1" s="1"/>
      <c r="N1" s="1"/>
      <c r="O1" s="1"/>
      <c r="P1" s="1"/>
      <c r="Q1" s="1"/>
      <c r="R1" s="1"/>
      <c r="S1" s="1"/>
      <c r="T1" s="1"/>
      <c r="U1" s="1"/>
    </row>
    <row r="2" ht="37.5" customHeight="1">
      <c r="A2" s="4"/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8" t="s">
        <v>13</v>
      </c>
      <c r="M2" s="8" t="s">
        <v>14</v>
      </c>
      <c r="N2" s="9"/>
      <c r="O2" s="10" t="s">
        <v>6</v>
      </c>
      <c r="P2" s="10" t="s">
        <v>15</v>
      </c>
      <c r="Q2" s="10" t="s">
        <v>7</v>
      </c>
      <c r="R2" s="10" t="s">
        <v>16</v>
      </c>
      <c r="S2" s="10" t="s">
        <v>17</v>
      </c>
      <c r="T2" s="4"/>
      <c r="U2" s="4"/>
    </row>
    <row r="3" ht="25.5" customHeight="1">
      <c r="A3" s="1"/>
      <c r="B3" s="11"/>
      <c r="C3" s="11"/>
      <c r="D3" s="12" t="s">
        <v>18</v>
      </c>
      <c r="E3" s="13">
        <f t="shared" ref="E3:M3" si="1">AVERAGE(E5:E22)</f>
        <v>17.06706667</v>
      </c>
      <c r="F3" s="13">
        <f t="shared" si="1"/>
        <v>74.12012778</v>
      </c>
      <c r="G3" s="13">
        <f t="shared" si="1"/>
        <v>34.33333333</v>
      </c>
      <c r="H3" s="14">
        <f t="shared" si="1"/>
        <v>0.03048648682</v>
      </c>
      <c r="I3" s="14">
        <f t="shared" si="1"/>
        <v>1.701783766</v>
      </c>
      <c r="J3" s="14">
        <f t="shared" si="1"/>
        <v>0.02263889939</v>
      </c>
      <c r="K3" s="15">
        <f t="shared" si="1"/>
        <v>2.088413446</v>
      </c>
      <c r="L3" s="16">
        <f t="shared" si="1"/>
        <v>606.9168621</v>
      </c>
      <c r="M3" s="16">
        <f t="shared" si="1"/>
        <v>4395.924554</v>
      </c>
      <c r="N3" s="1"/>
      <c r="O3" s="1"/>
      <c r="P3" s="1"/>
      <c r="Q3" s="1"/>
      <c r="R3" s="1"/>
      <c r="S3" s="11"/>
      <c r="T3" s="1"/>
      <c r="U3" s="1"/>
    </row>
    <row r="4" ht="25.5" customHeight="1">
      <c r="A4" s="1"/>
      <c r="B4" s="11" t="s">
        <v>19</v>
      </c>
      <c r="C4" s="11">
        <v>2.2849693E7</v>
      </c>
      <c r="D4" s="11" t="s">
        <v>20</v>
      </c>
      <c r="E4" s="17">
        <f t="shared" ref="E4:E22" si="2">O4 / 1000000</f>
        <v>205.355</v>
      </c>
      <c r="F4" s="17">
        <f t="shared" ref="F4:F22" si="3">Q4 / 1000000</f>
        <v>267.64</v>
      </c>
      <c r="G4" s="18">
        <f t="shared" ref="G4:G22" si="4">S4</f>
        <v>333</v>
      </c>
      <c r="H4" s="19">
        <f t="shared" ref="H4:H22" si="5">P4/O4</f>
        <v>0.1421635704</v>
      </c>
      <c r="I4" s="19">
        <f t="shared" ref="I4:I22" si="6">O4/Q4</f>
        <v>0.7672806755</v>
      </c>
      <c r="J4" s="19">
        <f t="shared" ref="J4:J22" si="7">P4/Q4</f>
        <v>0.1090793603</v>
      </c>
      <c r="K4" s="20">
        <f t="shared" ref="K4:K22" si="8">R4 / (Q4-R4)</f>
        <v>0.07197930059</v>
      </c>
      <c r="L4" s="21">
        <f t="shared" ref="L4:L22" si="9">O4/S4 / 1000</f>
        <v>616.6816817</v>
      </c>
      <c r="M4" s="21">
        <f t="shared" ref="M4:M22" si="10"> Q4/S4 / 1000</f>
        <v>803.7237237</v>
      </c>
      <c r="N4" s="1"/>
      <c r="O4" s="1" t="s">
        <v>21</v>
      </c>
      <c r="P4" s="1" t="s">
        <v>22</v>
      </c>
      <c r="Q4" s="1" t="s">
        <v>23</v>
      </c>
      <c r="R4" s="1" t="s">
        <v>24</v>
      </c>
      <c r="S4" s="11">
        <v>333.0</v>
      </c>
      <c r="T4" s="1"/>
      <c r="U4" s="1"/>
    </row>
    <row r="5" ht="25.5" customHeight="1">
      <c r="A5" s="1"/>
      <c r="B5" s="11" t="s">
        <v>25</v>
      </c>
      <c r="C5" s="11">
        <v>1565129.0</v>
      </c>
      <c r="D5" s="11" t="s">
        <v>26</v>
      </c>
      <c r="E5" s="17">
        <f t="shared" si="2"/>
        <v>49.636</v>
      </c>
      <c r="F5" s="17">
        <f t="shared" si="3"/>
        <v>285.117</v>
      </c>
      <c r="G5" s="18">
        <f t="shared" si="4"/>
        <v>88</v>
      </c>
      <c r="H5" s="19">
        <f t="shared" si="5"/>
        <v>0.02264485454</v>
      </c>
      <c r="I5" s="19">
        <f t="shared" si="6"/>
        <v>0.174089935</v>
      </c>
      <c r="J5" s="19">
        <f t="shared" si="7"/>
        <v>0.003942241255</v>
      </c>
      <c r="K5" s="20">
        <f t="shared" si="8"/>
        <v>0.0221262256</v>
      </c>
      <c r="L5" s="21">
        <f t="shared" si="9"/>
        <v>564.0454545</v>
      </c>
      <c r="M5" s="21">
        <f t="shared" si="10"/>
        <v>3239.965909</v>
      </c>
      <c r="N5" s="1"/>
      <c r="O5" s="1" t="s">
        <v>27</v>
      </c>
      <c r="P5" s="1" t="s">
        <v>28</v>
      </c>
      <c r="Q5" s="1" t="s">
        <v>29</v>
      </c>
      <c r="R5" s="1" t="s">
        <v>30</v>
      </c>
      <c r="S5" s="11">
        <v>88.0</v>
      </c>
      <c r="T5" s="1"/>
      <c r="U5" s="1"/>
    </row>
    <row r="6" ht="25.5" customHeight="1">
      <c r="A6" s="1"/>
      <c r="B6" s="11" t="s">
        <v>31</v>
      </c>
      <c r="C6" s="11">
        <v>5587843.0</v>
      </c>
      <c r="D6" s="11" t="s">
        <v>26</v>
      </c>
      <c r="E6" s="17">
        <f t="shared" si="2"/>
        <v>9.78</v>
      </c>
      <c r="F6" s="17">
        <f t="shared" si="3"/>
        <v>355.459</v>
      </c>
      <c r="G6" s="18">
        <f t="shared" si="4"/>
        <v>31</v>
      </c>
      <c r="H6" s="19">
        <f t="shared" si="5"/>
        <v>-0.2379345603</v>
      </c>
      <c r="I6" s="19">
        <f t="shared" si="6"/>
        <v>0.0275137217</v>
      </c>
      <c r="J6" s="19">
        <f t="shared" si="7"/>
        <v>-0.006546465274</v>
      </c>
      <c r="K6" s="20">
        <f t="shared" si="8"/>
        <v>0.01250178027</v>
      </c>
      <c r="L6" s="21">
        <f t="shared" si="9"/>
        <v>315.483871</v>
      </c>
      <c r="M6" s="21">
        <f t="shared" si="10"/>
        <v>11466.41935</v>
      </c>
      <c r="N6" s="1"/>
      <c r="O6" s="1" t="s">
        <v>32</v>
      </c>
      <c r="P6" s="1" t="s">
        <v>33</v>
      </c>
      <c r="Q6" s="1" t="s">
        <v>34</v>
      </c>
      <c r="R6" s="1" t="s">
        <v>35</v>
      </c>
      <c r="S6" s="11">
        <v>31.0</v>
      </c>
      <c r="T6" s="1"/>
      <c r="U6" s="1"/>
    </row>
    <row r="7" ht="25.5" customHeight="1">
      <c r="A7" s="1"/>
      <c r="B7" s="11" t="s">
        <v>36</v>
      </c>
      <c r="C7" s="11">
        <v>5587984.0</v>
      </c>
      <c r="D7" s="11" t="s">
        <v>26</v>
      </c>
      <c r="E7" s="17">
        <f t="shared" si="2"/>
        <v>15.377</v>
      </c>
      <c r="F7" s="17">
        <f t="shared" si="3"/>
        <v>327.354</v>
      </c>
      <c r="G7" s="18">
        <f t="shared" si="4"/>
        <v>38</v>
      </c>
      <c r="H7" s="19">
        <f t="shared" si="5"/>
        <v>0.01268127723</v>
      </c>
      <c r="I7" s="19">
        <f t="shared" si="6"/>
        <v>0.04697361266</v>
      </c>
      <c r="J7" s="19">
        <f t="shared" si="7"/>
        <v>0.0005956854048</v>
      </c>
      <c r="K7" s="20">
        <f t="shared" si="8"/>
        <v>0.02562222724</v>
      </c>
      <c r="L7" s="21">
        <f t="shared" si="9"/>
        <v>404.6578947</v>
      </c>
      <c r="M7" s="21">
        <f t="shared" si="10"/>
        <v>8614.578947</v>
      </c>
      <c r="N7" s="1"/>
      <c r="O7" s="1" t="s">
        <v>37</v>
      </c>
      <c r="P7" s="1" t="s">
        <v>38</v>
      </c>
      <c r="Q7" s="1" t="s">
        <v>39</v>
      </c>
      <c r="R7" s="1" t="s">
        <v>40</v>
      </c>
      <c r="S7" s="11">
        <v>38.0</v>
      </c>
      <c r="T7" s="1"/>
      <c r="U7" s="1"/>
    </row>
    <row r="8" ht="25.5" customHeight="1">
      <c r="A8" s="1"/>
      <c r="B8" s="11" t="s">
        <v>41</v>
      </c>
      <c r="C8" s="11">
        <v>1559577.0</v>
      </c>
      <c r="D8" s="11" t="s">
        <v>42</v>
      </c>
      <c r="E8" s="17">
        <f t="shared" si="2"/>
        <v>42.328</v>
      </c>
      <c r="F8" s="17">
        <f t="shared" si="3"/>
        <v>59.988</v>
      </c>
      <c r="G8" s="18">
        <f t="shared" si="4"/>
        <v>68</v>
      </c>
      <c r="H8" s="19">
        <f t="shared" si="5"/>
        <v>0.06662256662</v>
      </c>
      <c r="I8" s="19">
        <f t="shared" si="6"/>
        <v>0.7056077882</v>
      </c>
      <c r="J8" s="19">
        <f t="shared" si="7"/>
        <v>0.04700940188</v>
      </c>
      <c r="K8" s="20">
        <f t="shared" si="8"/>
        <v>0.1339243521</v>
      </c>
      <c r="L8" s="21">
        <f t="shared" si="9"/>
        <v>622.4705882</v>
      </c>
      <c r="M8" s="21">
        <f t="shared" si="10"/>
        <v>882.1764706</v>
      </c>
      <c r="N8" s="1"/>
      <c r="O8" s="1" t="s">
        <v>43</v>
      </c>
      <c r="P8" s="1" t="s">
        <v>44</v>
      </c>
      <c r="Q8" s="1" t="s">
        <v>45</v>
      </c>
      <c r="R8" s="1" t="s">
        <v>46</v>
      </c>
      <c r="S8" s="11">
        <v>68.0</v>
      </c>
      <c r="T8" s="1"/>
      <c r="U8" s="1"/>
    </row>
    <row r="9" ht="25.5" customHeight="1">
      <c r="A9" s="1"/>
      <c r="B9" s="11" t="s">
        <v>47</v>
      </c>
      <c r="C9" s="11">
        <v>3.3659062E7</v>
      </c>
      <c r="D9" s="11" t="s">
        <v>48</v>
      </c>
      <c r="E9" s="17">
        <f t="shared" si="2"/>
        <v>24.765</v>
      </c>
      <c r="F9" s="17">
        <f t="shared" si="3"/>
        <v>6.577</v>
      </c>
      <c r="G9" s="18">
        <f t="shared" si="4"/>
        <v>38</v>
      </c>
      <c r="H9" s="19">
        <f t="shared" si="5"/>
        <v>0.06630325056</v>
      </c>
      <c r="I9" s="19">
        <f t="shared" si="6"/>
        <v>3.765394557</v>
      </c>
      <c r="J9" s="19">
        <f t="shared" si="7"/>
        <v>0.2496578987</v>
      </c>
      <c r="K9" s="20">
        <f t="shared" si="8"/>
        <v>0.4282301846</v>
      </c>
      <c r="L9" s="21">
        <f t="shared" si="9"/>
        <v>651.7105263</v>
      </c>
      <c r="M9" s="21">
        <f t="shared" si="10"/>
        <v>173.0789474</v>
      </c>
      <c r="N9" s="1"/>
      <c r="O9" s="1" t="s">
        <v>49</v>
      </c>
      <c r="P9" s="1" t="s">
        <v>50</v>
      </c>
      <c r="Q9" s="1" t="s">
        <v>51</v>
      </c>
      <c r="R9" s="1" t="s">
        <v>52</v>
      </c>
      <c r="S9" s="11">
        <v>38.0</v>
      </c>
      <c r="T9" s="1"/>
      <c r="U9" s="1"/>
    </row>
    <row r="10" ht="25.5" customHeight="1">
      <c r="A10" s="1"/>
      <c r="B10" s="11" t="s">
        <v>53</v>
      </c>
      <c r="C10" s="11">
        <v>3.2600835E7</v>
      </c>
      <c r="D10" s="11" t="s">
        <v>54</v>
      </c>
      <c r="E10" s="17">
        <f t="shared" si="2"/>
        <v>21.7578</v>
      </c>
      <c r="F10" s="17">
        <f t="shared" si="3"/>
        <v>17.8811</v>
      </c>
      <c r="G10" s="18">
        <f t="shared" si="4"/>
        <v>73</v>
      </c>
      <c r="H10" s="19">
        <f t="shared" si="5"/>
        <v>0.0005055658201</v>
      </c>
      <c r="I10" s="19">
        <f t="shared" si="6"/>
        <v>1.216804335</v>
      </c>
      <c r="J10" s="19">
        <f t="shared" si="7"/>
        <v>0.0006151746816</v>
      </c>
      <c r="K10" s="20">
        <f t="shared" si="8"/>
        <v>0.1399110057</v>
      </c>
      <c r="L10" s="21">
        <f t="shared" si="9"/>
        <v>298.0520548</v>
      </c>
      <c r="M10" s="21">
        <f t="shared" si="10"/>
        <v>244.9465753</v>
      </c>
      <c r="N10" s="1"/>
      <c r="O10" s="1" t="s">
        <v>55</v>
      </c>
      <c r="P10" s="1" t="s">
        <v>56</v>
      </c>
      <c r="Q10" s="1" t="s">
        <v>57</v>
      </c>
      <c r="R10" s="1" t="s">
        <v>58</v>
      </c>
      <c r="S10" s="11">
        <v>73.0</v>
      </c>
      <c r="T10" s="1"/>
      <c r="U10" s="1"/>
    </row>
    <row r="11" ht="25.5" customHeight="1">
      <c r="A11" s="1"/>
      <c r="B11" s="11" t="s">
        <v>59</v>
      </c>
      <c r="C11" s="11">
        <v>4.4901319E7</v>
      </c>
      <c r="D11" s="22" t="s">
        <v>60</v>
      </c>
      <c r="E11" s="17">
        <f t="shared" si="2"/>
        <v>4.8647</v>
      </c>
      <c r="F11" s="17">
        <f t="shared" si="3"/>
        <v>100.103</v>
      </c>
      <c r="G11" s="18">
        <f t="shared" si="4"/>
        <v>2</v>
      </c>
      <c r="H11" s="19">
        <f t="shared" si="5"/>
        <v>0.01609554546</v>
      </c>
      <c r="I11" s="19">
        <f t="shared" si="6"/>
        <v>0.04859694515</v>
      </c>
      <c r="J11" s="19">
        <f t="shared" si="7"/>
        <v>0.0007821943398</v>
      </c>
      <c r="K11" s="20">
        <f t="shared" si="8"/>
        <v>0.0004737366024</v>
      </c>
      <c r="L11" s="21">
        <f t="shared" si="9"/>
        <v>2432.35</v>
      </c>
      <c r="M11" s="21">
        <f t="shared" si="10"/>
        <v>50051.5</v>
      </c>
      <c r="N11" s="1"/>
      <c r="O11" s="1" t="s">
        <v>61</v>
      </c>
      <c r="P11" s="1" t="s">
        <v>62</v>
      </c>
      <c r="Q11" s="1" t="s">
        <v>63</v>
      </c>
      <c r="R11" s="1" t="s">
        <v>64</v>
      </c>
      <c r="S11" s="11">
        <v>2.0</v>
      </c>
      <c r="T11" s="1"/>
      <c r="U11" s="1"/>
    </row>
    <row r="12" ht="25.5" customHeight="1">
      <c r="A12" s="1"/>
      <c r="B12" s="11" t="s">
        <v>65</v>
      </c>
      <c r="C12" s="11">
        <v>4.1943047E7</v>
      </c>
      <c r="D12" s="11" t="s">
        <v>66</v>
      </c>
      <c r="E12" s="17">
        <f t="shared" si="2"/>
        <v>3.471</v>
      </c>
      <c r="F12" s="17">
        <f t="shared" si="3"/>
        <v>5.1328</v>
      </c>
      <c r="G12" s="18">
        <f t="shared" si="4"/>
        <v>7</v>
      </c>
      <c r="H12" s="19">
        <f t="shared" si="5"/>
        <v>0.2068856237</v>
      </c>
      <c r="I12" s="19">
        <f t="shared" si="6"/>
        <v>0.6762390898</v>
      </c>
      <c r="J12" s="19">
        <f t="shared" si="7"/>
        <v>0.1399041459</v>
      </c>
      <c r="K12" s="20">
        <f t="shared" si="8"/>
        <v>0.06536042674</v>
      </c>
      <c r="L12" s="21">
        <f t="shared" si="9"/>
        <v>495.8571429</v>
      </c>
      <c r="M12" s="21">
        <f t="shared" si="10"/>
        <v>733.2571429</v>
      </c>
      <c r="N12" s="1"/>
      <c r="O12" s="1" t="s">
        <v>67</v>
      </c>
      <c r="P12" s="1" t="s">
        <v>68</v>
      </c>
      <c r="Q12" s="1" t="s">
        <v>69</v>
      </c>
      <c r="R12" s="1" t="s">
        <v>70</v>
      </c>
      <c r="S12" s="11">
        <v>7.0</v>
      </c>
      <c r="T12" s="1"/>
      <c r="U12" s="1"/>
    </row>
    <row r="13" ht="25.5" customHeight="1">
      <c r="A13" s="1"/>
      <c r="B13" s="11" t="s">
        <v>71</v>
      </c>
      <c r="C13" s="11">
        <v>3337728.0</v>
      </c>
      <c r="D13" s="11" t="s">
        <v>72</v>
      </c>
      <c r="E13" s="17">
        <f t="shared" si="2"/>
        <v>16.5026</v>
      </c>
      <c r="F13" s="17">
        <f t="shared" si="3"/>
        <v>6.586</v>
      </c>
      <c r="G13" s="18">
        <f t="shared" si="4"/>
        <v>36</v>
      </c>
      <c r="H13" s="19">
        <f t="shared" si="5"/>
        <v>0.051737302</v>
      </c>
      <c r="I13" s="19">
        <f t="shared" si="6"/>
        <v>2.50570908</v>
      </c>
      <c r="J13" s="19">
        <f t="shared" si="7"/>
        <v>0.1296386274</v>
      </c>
      <c r="K13" s="20">
        <f t="shared" si="8"/>
        <v>0.2246643609</v>
      </c>
      <c r="L13" s="21">
        <f t="shared" si="9"/>
        <v>458.4055556</v>
      </c>
      <c r="M13" s="21">
        <f t="shared" si="10"/>
        <v>182.9444444</v>
      </c>
      <c r="N13" s="1"/>
      <c r="O13" s="1" t="s">
        <v>73</v>
      </c>
      <c r="P13" s="1" t="s">
        <v>74</v>
      </c>
      <c r="Q13" s="1" t="s">
        <v>75</v>
      </c>
      <c r="R13" s="1" t="s">
        <v>76</v>
      </c>
      <c r="S13" s="11">
        <v>36.0</v>
      </c>
      <c r="T13" s="1"/>
      <c r="U13" s="1"/>
    </row>
    <row r="14" ht="25.5" customHeight="1">
      <c r="A14" s="1"/>
      <c r="B14" s="11" t="s">
        <v>77</v>
      </c>
      <c r="C14" s="11">
        <v>2.2825528E7</v>
      </c>
      <c r="D14" s="11" t="s">
        <v>78</v>
      </c>
      <c r="E14" s="17">
        <f t="shared" si="2"/>
        <v>10.9694</v>
      </c>
      <c r="F14" s="17">
        <f t="shared" si="3"/>
        <v>8.3402</v>
      </c>
      <c r="G14" s="18">
        <f t="shared" si="4"/>
        <v>34</v>
      </c>
      <c r="H14" s="19">
        <f t="shared" si="5"/>
        <v>0.01580761026</v>
      </c>
      <c r="I14" s="19">
        <f t="shared" si="6"/>
        <v>1.315244239</v>
      </c>
      <c r="J14" s="19">
        <f t="shared" si="7"/>
        <v>0.02079086832</v>
      </c>
      <c r="K14" s="20">
        <f t="shared" si="8"/>
        <v>0.1761006289</v>
      </c>
      <c r="L14" s="21">
        <f t="shared" si="9"/>
        <v>322.6294118</v>
      </c>
      <c r="M14" s="21">
        <f t="shared" si="10"/>
        <v>245.3</v>
      </c>
      <c r="N14" s="1"/>
      <c r="O14" s="1" t="s">
        <v>79</v>
      </c>
      <c r="P14" s="1" t="s">
        <v>80</v>
      </c>
      <c r="Q14" s="1" t="s">
        <v>81</v>
      </c>
      <c r="R14" s="1" t="s">
        <v>82</v>
      </c>
      <c r="S14" s="11">
        <v>34.0</v>
      </c>
      <c r="T14" s="1"/>
      <c r="U14" s="1"/>
    </row>
    <row r="15" ht="25.5" customHeight="1">
      <c r="A15" s="1"/>
      <c r="B15" s="11" t="s">
        <v>83</v>
      </c>
      <c r="C15" s="11">
        <v>3.2805952E7</v>
      </c>
      <c r="D15" s="11" t="s">
        <v>84</v>
      </c>
      <c r="E15" s="17">
        <f t="shared" si="2"/>
        <v>7.6813</v>
      </c>
      <c r="F15" s="17">
        <f t="shared" si="3"/>
        <v>2.7212</v>
      </c>
      <c r="G15" s="18">
        <f t="shared" si="4"/>
        <v>22</v>
      </c>
      <c r="H15" s="19">
        <f t="shared" si="5"/>
        <v>0.01071433221</v>
      </c>
      <c r="I15" s="19">
        <f t="shared" si="6"/>
        <v>2.822762017</v>
      </c>
      <c r="J15" s="19">
        <f t="shared" si="7"/>
        <v>0.03024401</v>
      </c>
      <c r="K15" s="20">
        <f t="shared" si="8"/>
        <v>0.1609710312</v>
      </c>
      <c r="L15" s="21">
        <f t="shared" si="9"/>
        <v>349.15</v>
      </c>
      <c r="M15" s="21">
        <f t="shared" si="10"/>
        <v>123.6909091</v>
      </c>
      <c r="N15" s="1"/>
      <c r="O15" s="1" t="s">
        <v>85</v>
      </c>
      <c r="P15" s="1" t="s">
        <v>86</v>
      </c>
      <c r="Q15" s="1" t="s">
        <v>87</v>
      </c>
      <c r="R15" s="1" t="s">
        <v>88</v>
      </c>
      <c r="S15" s="11">
        <v>22.0</v>
      </c>
      <c r="T15" s="1"/>
      <c r="U15" s="1"/>
    </row>
    <row r="16" ht="25.5" customHeight="1">
      <c r="A16" s="1"/>
      <c r="B16" s="11" t="s">
        <v>89</v>
      </c>
      <c r="C16" s="11">
        <v>1564348.0</v>
      </c>
      <c r="D16" s="11" t="s">
        <v>90</v>
      </c>
      <c r="E16" s="17">
        <f t="shared" si="2"/>
        <v>1.7707</v>
      </c>
      <c r="F16" s="17">
        <f t="shared" si="3"/>
        <v>1.5498</v>
      </c>
      <c r="G16" s="18">
        <f t="shared" si="4"/>
        <v>5</v>
      </c>
      <c r="H16" s="19">
        <f t="shared" si="5"/>
        <v>0.04405037556</v>
      </c>
      <c r="I16" s="19">
        <f t="shared" si="6"/>
        <v>1.142534521</v>
      </c>
      <c r="J16" s="19">
        <f t="shared" si="7"/>
        <v>0.05032907472</v>
      </c>
      <c r="K16" s="20">
        <f t="shared" si="8"/>
        <v>0.564822294</v>
      </c>
      <c r="L16" s="21">
        <f t="shared" si="9"/>
        <v>354.14</v>
      </c>
      <c r="M16" s="21">
        <f t="shared" si="10"/>
        <v>309.96</v>
      </c>
      <c r="N16" s="1"/>
      <c r="O16" s="1" t="s">
        <v>91</v>
      </c>
      <c r="P16" s="1" t="s">
        <v>92</v>
      </c>
      <c r="Q16" s="1" t="s">
        <v>93</v>
      </c>
      <c r="R16" s="1" t="s">
        <v>94</v>
      </c>
      <c r="S16" s="11">
        <v>5.0</v>
      </c>
      <c r="T16" s="1"/>
      <c r="U16" s="1"/>
    </row>
    <row r="17" ht="25.5" customHeight="1">
      <c r="A17" s="1"/>
      <c r="B17" s="11" t="s">
        <v>95</v>
      </c>
      <c r="C17" s="11">
        <v>3.2874916E7</v>
      </c>
      <c r="D17" s="11" t="s">
        <v>20</v>
      </c>
      <c r="E17" s="17">
        <f t="shared" si="2"/>
        <v>73.232</v>
      </c>
      <c r="F17" s="17">
        <f t="shared" si="3"/>
        <v>143.584</v>
      </c>
      <c r="G17" s="18">
        <f t="shared" si="4"/>
        <v>125</v>
      </c>
      <c r="H17" s="19">
        <f t="shared" si="5"/>
        <v>0.1145127813</v>
      </c>
      <c r="I17" s="19">
        <f t="shared" si="6"/>
        <v>0.5100289726</v>
      </c>
      <c r="J17" s="19">
        <f t="shared" si="7"/>
        <v>0.05840483619</v>
      </c>
      <c r="K17" s="20">
        <f t="shared" si="8"/>
        <v>0.7229528655</v>
      </c>
      <c r="L17" s="21">
        <f t="shared" si="9"/>
        <v>585.856</v>
      </c>
      <c r="M17" s="21">
        <f t="shared" si="10"/>
        <v>1148.672</v>
      </c>
      <c r="N17" s="1"/>
      <c r="O17" s="1" t="s">
        <v>96</v>
      </c>
      <c r="P17" s="1" t="s">
        <v>97</v>
      </c>
      <c r="Q17" s="1" t="s">
        <v>98</v>
      </c>
      <c r="R17" s="1" t="s">
        <v>99</v>
      </c>
      <c r="S17" s="11">
        <v>125.0</v>
      </c>
      <c r="T17" s="1"/>
      <c r="U17" s="1"/>
    </row>
    <row r="18" ht="25.5" customHeight="1">
      <c r="A18" s="1"/>
      <c r="B18" s="11" t="s">
        <v>100</v>
      </c>
      <c r="C18" s="11">
        <v>2.1441561E7</v>
      </c>
      <c r="D18" s="11" t="s">
        <v>20</v>
      </c>
      <c r="E18" s="17">
        <f t="shared" si="2"/>
        <v>8.5756</v>
      </c>
      <c r="F18" s="17">
        <f t="shared" si="3"/>
        <v>2.7727</v>
      </c>
      <c r="G18" s="18">
        <f t="shared" si="4"/>
        <v>12</v>
      </c>
      <c r="H18" s="19">
        <f t="shared" si="5"/>
        <v>-0.0680185643</v>
      </c>
      <c r="I18" s="19">
        <f t="shared" si="6"/>
        <v>3.092869766</v>
      </c>
      <c r="J18" s="19">
        <f t="shared" si="7"/>
        <v>-0.210372561</v>
      </c>
      <c r="K18" s="20">
        <f t="shared" si="8"/>
        <v>0.6993748468</v>
      </c>
      <c r="L18" s="21">
        <f t="shared" si="9"/>
        <v>714.6333333</v>
      </c>
      <c r="M18" s="21">
        <f t="shared" si="10"/>
        <v>231.0583333</v>
      </c>
      <c r="N18" s="1"/>
      <c r="O18" s="1" t="s">
        <v>101</v>
      </c>
      <c r="P18" s="1" t="s">
        <v>102</v>
      </c>
      <c r="Q18" s="1" t="s">
        <v>103</v>
      </c>
      <c r="R18" s="1" t="s">
        <v>104</v>
      </c>
      <c r="S18" s="11">
        <v>12.0</v>
      </c>
      <c r="T18" s="1"/>
      <c r="U18" s="1"/>
    </row>
    <row r="19" ht="25.5" customHeight="1">
      <c r="A19" s="1"/>
      <c r="B19" s="11" t="s">
        <v>105</v>
      </c>
      <c r="C19" s="11">
        <v>1.4268108E7</v>
      </c>
      <c r="D19" s="11" t="s">
        <v>20</v>
      </c>
      <c r="E19" s="17">
        <f t="shared" si="2"/>
        <v>6.1667</v>
      </c>
      <c r="F19" s="17">
        <f t="shared" si="3"/>
        <v>1.6696</v>
      </c>
      <c r="G19" s="18">
        <f t="shared" si="4"/>
        <v>15</v>
      </c>
      <c r="H19" s="19">
        <f t="shared" si="5"/>
        <v>0.04164301815</v>
      </c>
      <c r="I19" s="19">
        <f t="shared" si="6"/>
        <v>3.693519406</v>
      </c>
      <c r="J19" s="19">
        <f t="shared" si="7"/>
        <v>0.1538092956</v>
      </c>
      <c r="K19" s="20">
        <f t="shared" si="8"/>
        <v>0.2078420025</v>
      </c>
      <c r="L19" s="21">
        <f t="shared" si="9"/>
        <v>411.1133333</v>
      </c>
      <c r="M19" s="21">
        <f t="shared" si="10"/>
        <v>111.3066667</v>
      </c>
      <c r="N19" s="1"/>
      <c r="O19" s="1" t="s">
        <v>106</v>
      </c>
      <c r="P19" s="1" t="s">
        <v>107</v>
      </c>
      <c r="Q19" s="1" t="s">
        <v>108</v>
      </c>
      <c r="R19" s="1" t="s">
        <v>109</v>
      </c>
      <c r="S19" s="11">
        <v>15.0</v>
      </c>
      <c r="T19" s="1"/>
      <c r="U19" s="1"/>
    </row>
    <row r="20" ht="25.5" customHeight="1">
      <c r="A20" s="1"/>
      <c r="B20" s="11" t="s">
        <v>110</v>
      </c>
      <c r="C20" s="11">
        <v>2.5079273E7</v>
      </c>
      <c r="D20" s="11" t="s">
        <v>20</v>
      </c>
      <c r="E20" s="17">
        <f t="shared" si="2"/>
        <v>5.4908</v>
      </c>
      <c r="F20" s="17">
        <f t="shared" si="3"/>
        <v>0.8606</v>
      </c>
      <c r="G20" s="18">
        <f t="shared" si="4"/>
        <v>4</v>
      </c>
      <c r="H20" s="19">
        <f t="shared" si="5"/>
        <v>-0.1009871057</v>
      </c>
      <c r="I20" s="19">
        <f t="shared" si="6"/>
        <v>6.380199861</v>
      </c>
      <c r="J20" s="19">
        <f t="shared" si="7"/>
        <v>-0.6443179177</v>
      </c>
      <c r="K20" s="20">
        <f t="shared" si="8"/>
        <v>22.77348066</v>
      </c>
      <c r="L20" s="21">
        <f t="shared" si="9"/>
        <v>1372.7</v>
      </c>
      <c r="M20" s="21">
        <f t="shared" si="10"/>
        <v>215.15</v>
      </c>
      <c r="N20" s="1"/>
      <c r="O20" s="1" t="s">
        <v>111</v>
      </c>
      <c r="P20" s="1" t="s">
        <v>112</v>
      </c>
      <c r="Q20" s="1" t="s">
        <v>113</v>
      </c>
      <c r="R20" s="1" t="s">
        <v>114</v>
      </c>
      <c r="S20" s="11">
        <v>4.0</v>
      </c>
      <c r="T20" s="1"/>
      <c r="U20" s="1"/>
    </row>
    <row r="21" ht="25.5" customHeight="1">
      <c r="A21" s="1"/>
      <c r="B21" s="11" t="s">
        <v>115</v>
      </c>
      <c r="C21" s="11">
        <v>2.1413114E7</v>
      </c>
      <c r="D21" s="11" t="s">
        <v>20</v>
      </c>
      <c r="E21" s="17">
        <f t="shared" si="2"/>
        <v>3.0189</v>
      </c>
      <c r="F21" s="17">
        <f t="shared" si="3"/>
        <v>7.6043</v>
      </c>
      <c r="G21" s="18">
        <f t="shared" si="4"/>
        <v>7</v>
      </c>
      <c r="H21" s="19">
        <f t="shared" si="5"/>
        <v>0.1281592633</v>
      </c>
      <c r="I21" s="19">
        <f t="shared" si="6"/>
        <v>0.3969990663</v>
      </c>
      <c r="J21" s="19">
        <f t="shared" si="7"/>
        <v>0.05087910787</v>
      </c>
      <c r="K21" s="20">
        <f t="shared" si="8"/>
        <v>1.252191683</v>
      </c>
      <c r="L21" s="21">
        <f t="shared" si="9"/>
        <v>431.2714286</v>
      </c>
      <c r="M21" s="21">
        <f t="shared" si="10"/>
        <v>1086.328571</v>
      </c>
      <c r="N21" s="1"/>
      <c r="O21" s="1" t="s">
        <v>116</v>
      </c>
      <c r="P21" s="1" t="s">
        <v>117</v>
      </c>
      <c r="Q21" s="1" t="s">
        <v>118</v>
      </c>
      <c r="R21" s="1" t="s">
        <v>119</v>
      </c>
      <c r="S21" s="11">
        <v>7.0</v>
      </c>
      <c r="T21" s="1"/>
      <c r="U21" s="1"/>
    </row>
    <row r="22" ht="25.5" customHeight="1">
      <c r="A22" s="1"/>
      <c r="B22" s="11" t="s">
        <v>120</v>
      </c>
      <c r="C22" s="11">
        <v>3.1083045E7</v>
      </c>
      <c r="D22" s="11" t="s">
        <v>20</v>
      </c>
      <c r="E22" s="17">
        <f t="shared" si="2"/>
        <v>1.8197</v>
      </c>
      <c r="F22" s="17">
        <f t="shared" si="3"/>
        <v>0.862</v>
      </c>
      <c r="G22" s="18">
        <f t="shared" si="4"/>
        <v>13</v>
      </c>
      <c r="H22" s="19">
        <f t="shared" si="5"/>
        <v>0.1573336264</v>
      </c>
      <c r="I22" s="19">
        <f t="shared" si="6"/>
        <v>2.111020882</v>
      </c>
      <c r="J22" s="19">
        <f t="shared" si="7"/>
        <v>0.3321345708</v>
      </c>
      <c r="K22" s="20">
        <f t="shared" si="8"/>
        <v>9.98089172</v>
      </c>
      <c r="L22" s="21">
        <f t="shared" si="9"/>
        <v>139.9769231</v>
      </c>
      <c r="M22" s="21">
        <f t="shared" si="10"/>
        <v>66.30769231</v>
      </c>
      <c r="N22" s="1"/>
      <c r="O22" s="1" t="s">
        <v>121</v>
      </c>
      <c r="P22" s="1" t="s">
        <v>122</v>
      </c>
      <c r="Q22" s="1" t="s">
        <v>123</v>
      </c>
      <c r="R22" s="1" t="s">
        <v>124</v>
      </c>
      <c r="S22" s="11">
        <v>13.0</v>
      </c>
      <c r="T22" s="1"/>
      <c r="U22" s="1"/>
    </row>
    <row r="23" ht="25.5" customHeight="1">
      <c r="A23" s="1"/>
      <c r="B23" s="1"/>
      <c r="C23" s="1"/>
      <c r="D23" s="1"/>
      <c r="E23" s="23"/>
      <c r="F23" s="23"/>
      <c r="G23" s="23"/>
      <c r="H23" s="23"/>
      <c r="I23" s="23"/>
      <c r="J23" s="23"/>
      <c r="K23" s="23"/>
      <c r="L23" s="23"/>
      <c r="M23" s="23"/>
      <c r="N23" s="1"/>
      <c r="O23" s="1"/>
      <c r="P23" s="1"/>
      <c r="Q23" s="1"/>
      <c r="R23" s="1"/>
      <c r="S23" s="1"/>
      <c r="T23" s="1"/>
      <c r="U23" s="1"/>
    </row>
    <row r="24" ht="25.5" customHeight="1">
      <c r="A24" s="1"/>
      <c r="B24" s="1"/>
      <c r="C24" s="1"/>
      <c r="D24" s="1"/>
      <c r="E24" s="23"/>
      <c r="F24" s="23"/>
      <c r="G24" s="23"/>
      <c r="H24" s="23"/>
      <c r="I24" s="23"/>
      <c r="J24" s="23"/>
      <c r="K24" s="23"/>
      <c r="L24" s="23"/>
      <c r="M24" s="23"/>
      <c r="N24" s="1"/>
      <c r="O24" s="1"/>
      <c r="P24" s="1"/>
      <c r="Q24" s="1"/>
      <c r="R24" s="1"/>
      <c r="S24" s="1"/>
      <c r="T24" s="1"/>
      <c r="U24" s="1"/>
    </row>
    <row r="25" ht="25.5" customHeight="1">
      <c r="A25" s="1"/>
      <c r="B25" s="1"/>
      <c r="C25" s="1"/>
      <c r="D25" s="1"/>
      <c r="E25" s="23"/>
      <c r="F25" s="23"/>
      <c r="G25" s="23"/>
      <c r="H25" s="23"/>
      <c r="I25" s="23"/>
      <c r="J25" s="23"/>
      <c r="K25" s="23"/>
      <c r="L25" s="23"/>
      <c r="M25" s="23"/>
      <c r="N25" s="1"/>
      <c r="O25" s="1"/>
      <c r="P25" s="1"/>
      <c r="Q25" s="1"/>
      <c r="R25" s="1"/>
      <c r="S25" s="1"/>
      <c r="T25" s="1"/>
      <c r="U25" s="1"/>
    </row>
    <row r="26" ht="25.5" customHeight="1">
      <c r="A26" s="1"/>
      <c r="B26" s="1"/>
      <c r="C26" s="1"/>
      <c r="D26" s="1"/>
      <c r="E26" s="23"/>
      <c r="F26" s="23"/>
      <c r="G26" s="23"/>
      <c r="H26" s="23"/>
      <c r="I26" s="23"/>
      <c r="J26" s="23"/>
      <c r="K26" s="23"/>
      <c r="L26" s="23"/>
      <c r="M26" s="23"/>
      <c r="N26" s="1"/>
      <c r="O26" s="1"/>
      <c r="P26" s="1"/>
      <c r="Q26" s="1"/>
      <c r="R26" s="1"/>
      <c r="S26" s="1"/>
      <c r="T26" s="1"/>
      <c r="U26" s="1"/>
    </row>
    <row r="27" ht="25.5" customHeight="1">
      <c r="A27" s="1"/>
      <c r="B27" s="1"/>
      <c r="C27" s="1"/>
      <c r="D27" s="1"/>
      <c r="E27" s="23"/>
      <c r="F27" s="23"/>
      <c r="G27" s="23"/>
      <c r="H27" s="23"/>
      <c r="I27" s="23"/>
      <c r="J27" s="23"/>
      <c r="K27" s="23"/>
      <c r="L27" s="23"/>
      <c r="M27" s="23"/>
      <c r="N27" s="1"/>
      <c r="O27" s="1"/>
      <c r="P27" s="1"/>
      <c r="Q27" s="1"/>
      <c r="R27" s="1"/>
      <c r="S27" s="1"/>
      <c r="T27" s="1"/>
      <c r="U27" s="1"/>
    </row>
    <row r="28" ht="25.5" customHeight="1">
      <c r="A28" s="1"/>
      <c r="B28" s="1"/>
      <c r="C28" s="1"/>
      <c r="D28" s="1"/>
      <c r="E28" s="23"/>
      <c r="F28" s="23"/>
      <c r="G28" s="23"/>
      <c r="H28" s="23"/>
      <c r="I28" s="23"/>
      <c r="J28" s="23"/>
      <c r="K28" s="23"/>
      <c r="L28" s="23"/>
      <c r="M28" s="23"/>
      <c r="N28" s="1"/>
      <c r="O28" s="1"/>
      <c r="P28" s="1"/>
      <c r="Q28" s="1"/>
      <c r="R28" s="1"/>
      <c r="S28" s="1"/>
      <c r="T28" s="1"/>
      <c r="U28" s="1"/>
    </row>
    <row r="29" ht="25.5" customHeight="1">
      <c r="A29" s="1"/>
      <c r="B29" s="1"/>
      <c r="C29" s="1"/>
      <c r="D29" s="1"/>
      <c r="E29" s="23"/>
      <c r="F29" s="23"/>
      <c r="G29" s="23"/>
      <c r="H29" s="23"/>
      <c r="I29" s="23"/>
      <c r="J29" s="23"/>
      <c r="K29" s="23"/>
      <c r="L29" s="23"/>
      <c r="M29" s="23"/>
      <c r="N29" s="1"/>
      <c r="O29" s="1"/>
      <c r="P29" s="1"/>
      <c r="Q29" s="1"/>
      <c r="R29" s="1"/>
      <c r="S29" s="1"/>
      <c r="T29" s="1"/>
      <c r="U29" s="1"/>
    </row>
    <row r="30" ht="25.5" customHeight="1">
      <c r="A30" s="1"/>
      <c r="B30" s="1"/>
      <c r="C30" s="1"/>
      <c r="D30" s="1"/>
      <c r="E30" s="23"/>
      <c r="F30" s="23"/>
      <c r="G30" s="23"/>
      <c r="H30" s="23"/>
      <c r="I30" s="23"/>
      <c r="J30" s="23"/>
      <c r="K30" s="23"/>
      <c r="L30" s="23"/>
      <c r="M30" s="23"/>
      <c r="N30" s="1"/>
      <c r="O30" s="1"/>
      <c r="P30" s="1"/>
      <c r="Q30" s="1"/>
      <c r="R30" s="1"/>
      <c r="S30" s="1"/>
      <c r="T30" s="1"/>
      <c r="U30" s="1"/>
    </row>
    <row r="31" ht="25.5" customHeight="1">
      <c r="A31" s="1"/>
      <c r="B31" s="1"/>
      <c r="C31" s="1"/>
      <c r="D31" s="1"/>
      <c r="E31" s="23"/>
      <c r="F31" s="23"/>
      <c r="G31" s="23"/>
      <c r="H31" s="23"/>
      <c r="I31" s="23"/>
      <c r="J31" s="23"/>
      <c r="K31" s="23"/>
      <c r="L31" s="23"/>
      <c r="M31" s="23"/>
      <c r="N31" s="1"/>
      <c r="O31" s="1"/>
      <c r="P31" s="1"/>
      <c r="Q31" s="1"/>
      <c r="R31" s="1"/>
      <c r="S31" s="1"/>
      <c r="T31" s="1"/>
      <c r="U31" s="1"/>
    </row>
    <row r="32" ht="25.5" customHeight="1">
      <c r="A32" s="1"/>
      <c r="B32" s="1"/>
      <c r="C32" s="1"/>
      <c r="D32" s="1"/>
      <c r="E32" s="23"/>
      <c r="F32" s="23"/>
      <c r="G32" s="23"/>
      <c r="H32" s="23"/>
      <c r="I32" s="23"/>
      <c r="J32" s="23"/>
      <c r="K32" s="23"/>
      <c r="L32" s="23"/>
      <c r="M32" s="23"/>
      <c r="N32" s="1"/>
      <c r="O32" s="1"/>
      <c r="P32" s="1"/>
      <c r="Q32" s="1"/>
      <c r="R32" s="1"/>
      <c r="S32" s="1"/>
      <c r="T32" s="1"/>
      <c r="U32" s="1"/>
    </row>
    <row r="33" ht="25.5" customHeight="1">
      <c r="A33" s="1"/>
      <c r="B33" s="1"/>
      <c r="C33" s="1"/>
      <c r="D33" s="1"/>
      <c r="E33" s="23"/>
      <c r="F33" s="23"/>
      <c r="G33" s="23"/>
      <c r="H33" s="23"/>
      <c r="I33" s="23"/>
      <c r="J33" s="23"/>
      <c r="K33" s="23"/>
      <c r="L33" s="23"/>
      <c r="M33" s="23"/>
      <c r="N33" s="1"/>
      <c r="O33" s="1"/>
      <c r="P33" s="1"/>
      <c r="Q33" s="1"/>
      <c r="R33" s="1"/>
      <c r="S33" s="1"/>
      <c r="T33" s="1"/>
      <c r="U33" s="1"/>
    </row>
    <row r="34" ht="25.5" customHeight="1">
      <c r="A34" s="1"/>
      <c r="B34" s="1"/>
      <c r="C34" s="1"/>
      <c r="D34" s="1"/>
      <c r="E34" s="23"/>
      <c r="F34" s="23"/>
      <c r="G34" s="23"/>
      <c r="H34" s="23"/>
      <c r="I34" s="23"/>
      <c r="J34" s="23"/>
      <c r="K34" s="23"/>
      <c r="L34" s="23"/>
      <c r="M34" s="23"/>
      <c r="N34" s="1"/>
      <c r="O34" s="1"/>
      <c r="P34" s="1"/>
      <c r="Q34" s="1"/>
      <c r="R34" s="1"/>
      <c r="S34" s="1"/>
      <c r="T34" s="1"/>
      <c r="U34" s="1"/>
    </row>
    <row r="35" ht="25.5" customHeight="1">
      <c r="A35" s="1"/>
      <c r="B35" s="1"/>
      <c r="C35" s="1"/>
      <c r="D35" s="1"/>
      <c r="E35" s="23"/>
      <c r="F35" s="23"/>
      <c r="G35" s="23"/>
      <c r="H35" s="23"/>
      <c r="I35" s="23"/>
      <c r="J35" s="23"/>
      <c r="K35" s="23"/>
      <c r="L35" s="23"/>
      <c r="M35" s="23"/>
      <c r="N35" s="1"/>
      <c r="O35" s="1"/>
      <c r="P35" s="1"/>
      <c r="Q35" s="1"/>
      <c r="R35" s="1"/>
      <c r="S35" s="1"/>
      <c r="T35" s="1"/>
      <c r="U35" s="1"/>
    </row>
    <row r="36" ht="25.5" customHeight="1">
      <c r="A36" s="1"/>
      <c r="B36" s="1"/>
      <c r="C36" s="1"/>
      <c r="D36" s="1"/>
      <c r="E36" s="23"/>
      <c r="F36" s="23"/>
      <c r="G36" s="23"/>
      <c r="H36" s="23"/>
      <c r="I36" s="23"/>
      <c r="J36" s="23"/>
      <c r="K36" s="23"/>
      <c r="L36" s="23"/>
      <c r="M36" s="23"/>
      <c r="N36" s="1"/>
      <c r="O36" s="1"/>
      <c r="P36" s="1"/>
      <c r="Q36" s="1"/>
      <c r="R36" s="1"/>
      <c r="S36" s="1"/>
      <c r="T36" s="1"/>
      <c r="U36" s="1"/>
    </row>
    <row r="37" ht="25.5" customHeight="1">
      <c r="A37" s="1"/>
      <c r="B37" s="1"/>
      <c r="C37" s="1"/>
      <c r="D37" s="1"/>
      <c r="E37" s="23"/>
      <c r="F37" s="23"/>
      <c r="G37" s="23"/>
      <c r="H37" s="23"/>
      <c r="I37" s="23"/>
      <c r="J37" s="23"/>
      <c r="K37" s="23"/>
      <c r="L37" s="23"/>
      <c r="M37" s="23"/>
      <c r="N37" s="1"/>
      <c r="O37" s="1"/>
      <c r="P37" s="1"/>
      <c r="Q37" s="1"/>
      <c r="R37" s="1"/>
      <c r="S37" s="1"/>
      <c r="T37" s="1"/>
      <c r="U37" s="1"/>
    </row>
    <row r="38" ht="25.5" customHeight="1">
      <c r="A38" s="1"/>
      <c r="B38" s="1"/>
      <c r="C38" s="1"/>
      <c r="D38" s="1"/>
      <c r="E38" s="23"/>
      <c r="F38" s="23"/>
      <c r="G38" s="23"/>
      <c r="H38" s="23"/>
      <c r="I38" s="23"/>
      <c r="J38" s="23"/>
      <c r="K38" s="23"/>
      <c r="L38" s="23"/>
      <c r="M38" s="23"/>
      <c r="N38" s="1"/>
      <c r="O38" s="1"/>
      <c r="P38" s="1"/>
      <c r="Q38" s="1"/>
      <c r="R38" s="1"/>
      <c r="S38" s="1"/>
      <c r="T38" s="1"/>
      <c r="U38" s="1"/>
    </row>
    <row r="39" ht="25.5" customHeight="1">
      <c r="A39" s="1"/>
      <c r="B39" s="1"/>
      <c r="C39" s="1"/>
      <c r="D39" s="1"/>
      <c r="E39" s="23"/>
      <c r="F39" s="23"/>
      <c r="G39" s="23"/>
      <c r="H39" s="23"/>
      <c r="I39" s="23"/>
      <c r="J39" s="23"/>
      <c r="K39" s="23"/>
      <c r="L39" s="23"/>
      <c r="M39" s="23"/>
      <c r="N39" s="1"/>
      <c r="O39" s="1"/>
      <c r="P39" s="1"/>
      <c r="Q39" s="1"/>
      <c r="R39" s="1"/>
      <c r="S39" s="1"/>
      <c r="T39" s="1"/>
      <c r="U39" s="1"/>
    </row>
    <row r="40" ht="25.5" customHeight="1">
      <c r="A40" s="1"/>
      <c r="B40" s="1"/>
      <c r="C40" s="1"/>
      <c r="D40" s="1"/>
      <c r="E40" s="23"/>
      <c r="F40" s="23"/>
      <c r="G40" s="23"/>
      <c r="H40" s="23"/>
      <c r="I40" s="23"/>
      <c r="J40" s="23"/>
      <c r="K40" s="23"/>
      <c r="L40" s="23"/>
      <c r="M40" s="23"/>
      <c r="N40" s="1"/>
      <c r="O40" s="1"/>
      <c r="P40" s="1"/>
      <c r="Q40" s="1"/>
      <c r="R40" s="1"/>
      <c r="S40" s="1"/>
      <c r="T40" s="1"/>
      <c r="U40" s="1"/>
    </row>
    <row r="41" ht="25.5" customHeight="1">
      <c r="A41" s="1"/>
      <c r="B41" s="1"/>
      <c r="C41" s="1"/>
      <c r="D41" s="1"/>
      <c r="E41" s="23"/>
      <c r="F41" s="23"/>
      <c r="G41" s="23"/>
      <c r="H41" s="23"/>
      <c r="I41" s="23"/>
      <c r="J41" s="23"/>
      <c r="K41" s="23"/>
      <c r="L41" s="23"/>
      <c r="M41" s="23"/>
      <c r="N41" s="1"/>
      <c r="O41" s="1"/>
      <c r="P41" s="1"/>
      <c r="Q41" s="1"/>
      <c r="R41" s="1"/>
      <c r="S41" s="1"/>
      <c r="T41" s="1"/>
      <c r="U41" s="1"/>
    </row>
    <row r="42" ht="25.5" customHeight="1">
      <c r="A42" s="1"/>
      <c r="B42" s="1"/>
      <c r="C42" s="1"/>
      <c r="D42" s="1"/>
      <c r="E42" s="23"/>
      <c r="F42" s="23"/>
      <c r="G42" s="23"/>
      <c r="H42" s="23"/>
      <c r="I42" s="23"/>
      <c r="J42" s="23"/>
      <c r="K42" s="23"/>
      <c r="L42" s="23"/>
      <c r="M42" s="23"/>
      <c r="N42" s="1"/>
      <c r="O42" s="1"/>
      <c r="P42" s="1"/>
      <c r="Q42" s="1"/>
      <c r="R42" s="1"/>
      <c r="S42" s="1"/>
      <c r="T42" s="1"/>
      <c r="U42" s="1"/>
    </row>
    <row r="43" ht="25.5" customHeight="1">
      <c r="A43" s="1"/>
      <c r="B43" s="1"/>
      <c r="C43" s="1"/>
      <c r="D43" s="1"/>
      <c r="E43" s="23"/>
      <c r="F43" s="23"/>
      <c r="G43" s="23"/>
      <c r="H43" s="23"/>
      <c r="I43" s="23"/>
      <c r="J43" s="23"/>
      <c r="K43" s="23"/>
      <c r="L43" s="23"/>
      <c r="M43" s="23"/>
      <c r="N43" s="1"/>
      <c r="O43" s="1"/>
      <c r="P43" s="1"/>
      <c r="Q43" s="1"/>
      <c r="R43" s="1"/>
      <c r="S43" s="1"/>
      <c r="T43" s="1"/>
      <c r="U43" s="1"/>
    </row>
    <row r="44" ht="25.5" customHeight="1">
      <c r="A44" s="1"/>
      <c r="B44" s="1"/>
      <c r="C44" s="1"/>
      <c r="D44" s="1"/>
      <c r="E44" s="23"/>
      <c r="F44" s="23"/>
      <c r="G44" s="23"/>
      <c r="H44" s="23"/>
      <c r="I44" s="23"/>
      <c r="J44" s="23"/>
      <c r="K44" s="23"/>
      <c r="L44" s="23"/>
      <c r="M44" s="23"/>
      <c r="N44" s="1"/>
      <c r="O44" s="1"/>
      <c r="P44" s="1"/>
      <c r="Q44" s="1"/>
      <c r="R44" s="1"/>
      <c r="S44" s="1"/>
      <c r="T44" s="1"/>
      <c r="U44" s="1"/>
    </row>
    <row r="45" ht="25.5" customHeight="1">
      <c r="A45" s="1"/>
      <c r="B45" s="1"/>
      <c r="C45" s="1"/>
      <c r="D45" s="1"/>
      <c r="E45" s="23"/>
      <c r="F45" s="23"/>
      <c r="G45" s="23"/>
      <c r="H45" s="23"/>
      <c r="I45" s="23"/>
      <c r="J45" s="23"/>
      <c r="K45" s="23"/>
      <c r="L45" s="23"/>
      <c r="M45" s="23"/>
      <c r="N45" s="1"/>
      <c r="O45" s="1"/>
      <c r="P45" s="1"/>
      <c r="Q45" s="1"/>
      <c r="R45" s="1"/>
      <c r="S45" s="1"/>
      <c r="T45" s="1"/>
      <c r="U45" s="1"/>
    </row>
    <row r="46" ht="25.5" customHeight="1">
      <c r="A46" s="1"/>
      <c r="B46" s="1"/>
      <c r="C46" s="1"/>
      <c r="D46" s="1"/>
      <c r="E46" s="23"/>
      <c r="F46" s="23"/>
      <c r="G46" s="23"/>
      <c r="H46" s="23"/>
      <c r="I46" s="23"/>
      <c r="J46" s="23"/>
      <c r="K46" s="23"/>
      <c r="L46" s="23"/>
      <c r="M46" s="23"/>
      <c r="N46" s="1"/>
      <c r="O46" s="1"/>
      <c r="P46" s="1"/>
      <c r="Q46" s="1"/>
      <c r="R46" s="1"/>
      <c r="S46" s="1"/>
      <c r="T46" s="1"/>
      <c r="U46" s="1"/>
    </row>
    <row r="47" ht="25.5" customHeight="1">
      <c r="A47" s="1"/>
      <c r="B47" s="1"/>
      <c r="C47" s="1"/>
      <c r="D47" s="1"/>
      <c r="E47" s="23"/>
      <c r="F47" s="23"/>
      <c r="G47" s="23"/>
      <c r="H47" s="23"/>
      <c r="I47" s="23"/>
      <c r="J47" s="23"/>
      <c r="K47" s="23"/>
      <c r="L47" s="23"/>
      <c r="M47" s="23"/>
      <c r="N47" s="1"/>
      <c r="O47" s="1"/>
      <c r="P47" s="1"/>
      <c r="Q47" s="1"/>
      <c r="R47" s="1"/>
      <c r="S47" s="1"/>
      <c r="T47" s="1"/>
      <c r="U47" s="1"/>
    </row>
    <row r="48" ht="25.5" customHeight="1">
      <c r="A48" s="1"/>
      <c r="B48" s="1"/>
      <c r="C48" s="1"/>
      <c r="D48" s="1"/>
      <c r="E48" s="23"/>
      <c r="F48" s="23"/>
      <c r="G48" s="23"/>
      <c r="H48" s="23"/>
      <c r="I48" s="23"/>
      <c r="J48" s="23"/>
      <c r="K48" s="23"/>
      <c r="L48" s="23"/>
      <c r="M48" s="23"/>
      <c r="N48" s="1"/>
      <c r="O48" s="1"/>
      <c r="P48" s="1"/>
      <c r="Q48" s="1"/>
      <c r="R48" s="1"/>
      <c r="S48" s="1"/>
      <c r="T48" s="1"/>
      <c r="U48" s="1"/>
    </row>
    <row r="49" ht="25.5" customHeight="1">
      <c r="A49" s="1"/>
      <c r="B49" s="1"/>
      <c r="C49" s="1"/>
      <c r="D49" s="1"/>
      <c r="E49" s="23"/>
      <c r="F49" s="23"/>
      <c r="G49" s="23"/>
      <c r="H49" s="23"/>
      <c r="I49" s="23"/>
      <c r="J49" s="23"/>
      <c r="K49" s="23"/>
      <c r="L49" s="23"/>
      <c r="M49" s="23"/>
      <c r="N49" s="1"/>
      <c r="O49" s="1"/>
      <c r="P49" s="1"/>
      <c r="Q49" s="1"/>
      <c r="R49" s="1"/>
      <c r="S49" s="1"/>
      <c r="T49" s="1"/>
      <c r="U49" s="1"/>
    </row>
    <row r="50" ht="25.5" customHeight="1">
      <c r="A50" s="1"/>
      <c r="B50" s="1"/>
      <c r="C50" s="1"/>
      <c r="D50" s="1"/>
      <c r="E50" s="23"/>
      <c r="F50" s="23"/>
      <c r="G50" s="23"/>
      <c r="H50" s="23"/>
      <c r="I50" s="23"/>
      <c r="J50" s="23"/>
      <c r="K50" s="23"/>
      <c r="L50" s="23"/>
      <c r="M50" s="23"/>
      <c r="N50" s="1"/>
      <c r="O50" s="1"/>
      <c r="P50" s="1"/>
      <c r="Q50" s="1"/>
      <c r="R50" s="1"/>
      <c r="S50" s="1"/>
      <c r="T50" s="1"/>
      <c r="U50" s="1"/>
    </row>
    <row r="51" ht="25.5" customHeight="1">
      <c r="A51" s="1"/>
      <c r="B51" s="1"/>
      <c r="C51" s="1"/>
      <c r="D51" s="1"/>
      <c r="E51" s="23"/>
      <c r="F51" s="23"/>
      <c r="G51" s="23"/>
      <c r="H51" s="23"/>
      <c r="I51" s="23"/>
      <c r="J51" s="23"/>
      <c r="K51" s="23"/>
      <c r="L51" s="23"/>
      <c r="M51" s="23"/>
      <c r="N51" s="1"/>
      <c r="O51" s="1"/>
      <c r="P51" s="1"/>
      <c r="Q51" s="1"/>
      <c r="R51" s="1"/>
      <c r="S51" s="1"/>
      <c r="T51" s="1"/>
      <c r="U51" s="1"/>
    </row>
    <row r="52" ht="25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25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25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25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25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31.5"/>
    <col customWidth="1" min="3" max="3" width="12.63"/>
    <col customWidth="1" min="4" max="4" width="12.38"/>
    <col customWidth="1" min="5" max="7" width="10.13"/>
    <col customWidth="1" min="13" max="13" width="36.5"/>
  </cols>
  <sheetData>
    <row r="1" ht="31.5" customHeight="1">
      <c r="A1" s="1"/>
      <c r="B1" s="2" t="s">
        <v>0</v>
      </c>
      <c r="C1" s="3"/>
      <c r="D1" s="3"/>
      <c r="E1" s="2" t="s">
        <v>125</v>
      </c>
      <c r="F1" s="1"/>
      <c r="G1" s="1"/>
      <c r="H1" s="1"/>
      <c r="I1" s="1"/>
      <c r="J1" s="1"/>
      <c r="K1" s="1"/>
      <c r="L1" s="1"/>
      <c r="M1" s="1"/>
    </row>
    <row r="2" ht="32.25" customHeight="1">
      <c r="A2" s="4"/>
      <c r="B2" s="24" t="s">
        <v>126</v>
      </c>
      <c r="C2" s="24" t="s">
        <v>4</v>
      </c>
      <c r="D2" s="24" t="s">
        <v>127</v>
      </c>
      <c r="E2" s="24">
        <v>2022.0</v>
      </c>
      <c r="F2" s="24">
        <v>2023.0</v>
      </c>
      <c r="G2" s="24">
        <v>2024.0</v>
      </c>
      <c r="H2" s="4"/>
      <c r="I2" s="4"/>
      <c r="J2" s="4"/>
      <c r="K2" s="4"/>
      <c r="L2" s="4"/>
      <c r="M2" s="4"/>
    </row>
    <row r="3" ht="25.5" customHeight="1">
      <c r="A3" s="1"/>
      <c r="B3" s="11" t="s">
        <v>19</v>
      </c>
      <c r="C3" s="11">
        <v>2.2849693E7</v>
      </c>
      <c r="D3" s="25" t="s">
        <v>128</v>
      </c>
      <c r="E3" s="26">
        <f t="shared" ref="E3:G3" si="1">K3/1000000</f>
        <v>155.903</v>
      </c>
      <c r="F3" s="26">
        <f t="shared" si="1"/>
        <v>188.251</v>
      </c>
      <c r="G3" s="26">
        <f t="shared" si="1"/>
        <v>205.355</v>
      </c>
      <c r="H3" s="1"/>
      <c r="I3" s="1"/>
      <c r="J3" s="1"/>
      <c r="K3" s="1" t="s">
        <v>129</v>
      </c>
      <c r="L3" s="1" t="s">
        <v>130</v>
      </c>
      <c r="M3" s="1" t="s">
        <v>21</v>
      </c>
    </row>
    <row r="4" ht="25.5" customHeight="1">
      <c r="A4" s="1"/>
      <c r="B4" s="11" t="s">
        <v>131</v>
      </c>
      <c r="C4" s="11">
        <v>3.2874916E7</v>
      </c>
      <c r="D4" s="11" t="s">
        <v>132</v>
      </c>
      <c r="E4" s="26">
        <f t="shared" ref="E4:G4" si="2">K4/1000000</f>
        <v>62.063</v>
      </c>
      <c r="F4" s="26">
        <f t="shared" si="2"/>
        <v>70.558</v>
      </c>
      <c r="G4" s="26">
        <f t="shared" si="2"/>
        <v>73.232</v>
      </c>
      <c r="H4" s="1"/>
      <c r="I4" s="1"/>
      <c r="J4" s="1"/>
      <c r="K4" s="1" t="s">
        <v>133</v>
      </c>
      <c r="L4" s="1" t="s">
        <v>134</v>
      </c>
      <c r="M4" s="1" t="s">
        <v>96</v>
      </c>
    </row>
    <row r="5" ht="25.5" customHeight="1">
      <c r="A5" s="1"/>
      <c r="B5" s="11" t="s">
        <v>135</v>
      </c>
      <c r="C5" s="11">
        <v>2.1441561E7</v>
      </c>
      <c r="D5" s="11" t="s">
        <v>136</v>
      </c>
      <c r="E5" s="26">
        <f t="shared" ref="E5:G5" si="3">K5/1000000</f>
        <v>8.0046</v>
      </c>
      <c r="F5" s="26">
        <f t="shared" si="3"/>
        <v>9.5221</v>
      </c>
      <c r="G5" s="26">
        <f t="shared" si="3"/>
        <v>8.5756</v>
      </c>
      <c r="H5" s="1"/>
      <c r="I5" s="1"/>
      <c r="J5" s="1"/>
      <c r="K5" s="1" t="s">
        <v>137</v>
      </c>
      <c r="L5" s="1" t="s">
        <v>138</v>
      </c>
      <c r="M5" s="1" t="s">
        <v>101</v>
      </c>
    </row>
    <row r="6" ht="25.5" customHeight="1">
      <c r="A6" s="1"/>
      <c r="B6" s="11" t="s">
        <v>139</v>
      </c>
      <c r="C6" s="11">
        <v>1.4268108E7</v>
      </c>
      <c r="D6" s="11" t="s">
        <v>140</v>
      </c>
      <c r="E6" s="26">
        <f t="shared" ref="E6:G6" si="4">K6/1000000</f>
        <v>4.3477</v>
      </c>
      <c r="F6" s="26">
        <f t="shared" si="4"/>
        <v>5.0567</v>
      </c>
      <c r="G6" s="26">
        <f t="shared" si="4"/>
        <v>6.1667</v>
      </c>
      <c r="H6" s="1"/>
      <c r="I6" s="1"/>
      <c r="J6" s="1"/>
      <c r="K6" s="1" t="s">
        <v>141</v>
      </c>
      <c r="L6" s="1" t="s">
        <v>142</v>
      </c>
      <c r="M6" s="1" t="s">
        <v>106</v>
      </c>
    </row>
    <row r="7" ht="25.5" customHeight="1">
      <c r="A7" s="1"/>
      <c r="B7" s="11" t="s">
        <v>143</v>
      </c>
      <c r="C7" s="11">
        <v>2.5079273E7</v>
      </c>
      <c r="D7" s="11" t="s">
        <v>144</v>
      </c>
      <c r="E7" s="26">
        <f t="shared" ref="E7:G7" si="5">K7/1000000</f>
        <v>3.6231</v>
      </c>
      <c r="F7" s="26">
        <f t="shared" si="5"/>
        <v>4.6611</v>
      </c>
      <c r="G7" s="26">
        <f t="shared" si="5"/>
        <v>5.4908</v>
      </c>
      <c r="H7" s="1"/>
      <c r="I7" s="1"/>
      <c r="J7" s="1"/>
      <c r="K7" s="1" t="s">
        <v>145</v>
      </c>
      <c r="L7" s="1" t="s">
        <v>146</v>
      </c>
      <c r="M7" s="1" t="s">
        <v>111</v>
      </c>
    </row>
    <row r="8" ht="25.5" customHeight="1">
      <c r="A8" s="1"/>
      <c r="B8" s="11" t="s">
        <v>115</v>
      </c>
      <c r="C8" s="11">
        <v>2.1413114E7</v>
      </c>
      <c r="D8" s="11" t="s">
        <v>147</v>
      </c>
      <c r="E8" s="26">
        <f t="shared" ref="E8:G8" si="6">K8/1000000</f>
        <v>2.3128</v>
      </c>
      <c r="F8" s="26">
        <f t="shared" si="6"/>
        <v>2.1885</v>
      </c>
      <c r="G8" s="26">
        <f t="shared" si="6"/>
        <v>3.0189</v>
      </c>
      <c r="H8" s="1"/>
      <c r="I8" s="1"/>
      <c r="J8" s="1"/>
      <c r="K8" s="1" t="s">
        <v>148</v>
      </c>
      <c r="L8" s="1" t="s">
        <v>149</v>
      </c>
      <c r="M8" s="1" t="s">
        <v>116</v>
      </c>
    </row>
    <row r="9" ht="25.5" customHeight="1">
      <c r="A9" s="1"/>
      <c r="B9" s="11" t="s">
        <v>150</v>
      </c>
      <c r="C9" s="11">
        <v>3.1083045E7</v>
      </c>
      <c r="D9" s="11" t="s">
        <v>151</v>
      </c>
      <c r="E9" s="26">
        <f t="shared" ref="E9:G9" si="7">K9/1000000</f>
        <v>1.1862</v>
      </c>
      <c r="F9" s="26">
        <f t="shared" si="7"/>
        <v>1.465</v>
      </c>
      <c r="G9" s="26">
        <f t="shared" si="7"/>
        <v>1.8197</v>
      </c>
      <c r="H9" s="1"/>
      <c r="I9" s="1"/>
      <c r="J9" s="1"/>
      <c r="K9" s="1" t="s">
        <v>152</v>
      </c>
      <c r="L9" s="1" t="s">
        <v>153</v>
      </c>
      <c r="M9" s="1" t="s">
        <v>121</v>
      </c>
    </row>
    <row r="1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25.5" customHeight="1">
      <c r="A11" s="1"/>
      <c r="B11" s="1"/>
      <c r="C11" s="1"/>
      <c r="D11" s="27"/>
      <c r="E11" s="27" t="s">
        <v>154</v>
      </c>
      <c r="F11" s="27" t="s">
        <v>155</v>
      </c>
      <c r="G11" s="27"/>
      <c r="H11" s="28" t="s">
        <v>156</v>
      </c>
      <c r="I11" s="1"/>
      <c r="J11" s="1"/>
      <c r="K11" s="1"/>
      <c r="L11" s="1"/>
      <c r="M11" s="1"/>
    </row>
    <row r="12" ht="25.5" customHeight="1">
      <c r="A12" s="1"/>
      <c r="B12" s="1"/>
      <c r="C12" s="1"/>
      <c r="D12" s="25" t="s">
        <v>128</v>
      </c>
      <c r="E12" s="29">
        <f t="shared" ref="E12:F12" si="8">F3/E3 - 1</f>
        <v>0.2074879893</v>
      </c>
      <c r="F12" s="29">
        <f t="shared" si="8"/>
        <v>0.09085741908</v>
      </c>
      <c r="G12" s="30"/>
      <c r="H12" s="1"/>
      <c r="I12" s="1"/>
      <c r="J12" s="1"/>
      <c r="K12" s="1"/>
      <c r="L12" s="1"/>
      <c r="M12" s="1"/>
    </row>
    <row r="13" ht="25.5" customHeight="1">
      <c r="A13" s="1"/>
      <c r="B13" s="1"/>
      <c r="C13" s="1"/>
      <c r="D13" s="11" t="s">
        <v>132</v>
      </c>
      <c r="E13" s="29">
        <f t="shared" ref="E13:F13" si="9">F4/E4 - 1</f>
        <v>0.1368770443</v>
      </c>
      <c r="F13" s="29">
        <f t="shared" si="9"/>
        <v>0.0378978996</v>
      </c>
      <c r="G13" s="30"/>
      <c r="H13" s="1"/>
      <c r="I13" s="1"/>
      <c r="J13" s="1"/>
      <c r="K13" s="1"/>
      <c r="L13" s="1"/>
      <c r="M13" s="1"/>
    </row>
    <row r="14" ht="25.5" customHeight="1">
      <c r="A14" s="1"/>
      <c r="B14" s="1"/>
      <c r="C14" s="1"/>
      <c r="D14" s="11" t="s">
        <v>136</v>
      </c>
      <c r="E14" s="29">
        <f t="shared" ref="E14:F14" si="10">F5/E5 - 1</f>
        <v>0.1895784924</v>
      </c>
      <c r="F14" s="29">
        <f t="shared" si="10"/>
        <v>-0.09940034236</v>
      </c>
      <c r="G14" s="30"/>
      <c r="H14" s="1"/>
      <c r="I14" s="1"/>
      <c r="J14" s="1"/>
      <c r="K14" s="1"/>
      <c r="L14" s="1"/>
      <c r="M14" s="1"/>
    </row>
    <row r="15" ht="25.5" customHeight="1">
      <c r="A15" s="1"/>
      <c r="B15" s="1"/>
      <c r="C15" s="1"/>
      <c r="D15" s="11" t="s">
        <v>140</v>
      </c>
      <c r="E15" s="29">
        <f t="shared" ref="E15:F15" si="11">F6/E6 - 1</f>
        <v>0.1630747292</v>
      </c>
      <c r="F15" s="29">
        <f t="shared" si="11"/>
        <v>0.2195107481</v>
      </c>
      <c r="G15" s="30"/>
      <c r="H15" s="1"/>
      <c r="I15" s="1"/>
      <c r="J15" s="1"/>
      <c r="K15" s="1"/>
      <c r="L15" s="1"/>
      <c r="M15" s="1"/>
    </row>
    <row r="16" ht="25.5" customHeight="1">
      <c r="A16" s="1"/>
      <c r="B16" s="1"/>
      <c r="C16" s="1"/>
      <c r="D16" s="11" t="s">
        <v>144</v>
      </c>
      <c r="E16" s="29">
        <f t="shared" ref="E16:F16" si="12">F7/E7 - 1</f>
        <v>0.2864949905</v>
      </c>
      <c r="F16" s="29">
        <f t="shared" si="12"/>
        <v>0.1780051919</v>
      </c>
      <c r="G16" s="30"/>
      <c r="H16" s="1"/>
      <c r="I16" s="1"/>
      <c r="J16" s="1"/>
      <c r="K16" s="1"/>
      <c r="L16" s="1"/>
      <c r="M16" s="1"/>
    </row>
    <row r="17" ht="25.5" customHeight="1">
      <c r="A17" s="1"/>
      <c r="B17" s="1"/>
      <c r="C17" s="1"/>
      <c r="D17" s="11" t="s">
        <v>147</v>
      </c>
      <c r="E17" s="29">
        <f t="shared" ref="E17:F17" si="13">F8/E8 - 1</f>
        <v>-0.05374437911</v>
      </c>
      <c r="F17" s="29">
        <f t="shared" si="13"/>
        <v>0.3794379712</v>
      </c>
      <c r="G17" s="30"/>
      <c r="H17" s="1"/>
      <c r="I17" s="1"/>
      <c r="J17" s="1"/>
      <c r="K17" s="1"/>
      <c r="L17" s="1"/>
      <c r="M17" s="1"/>
    </row>
    <row r="18" ht="25.5" customHeight="1">
      <c r="A18" s="1"/>
      <c r="B18" s="1"/>
      <c r="C18" s="1"/>
      <c r="D18" s="11" t="s">
        <v>151</v>
      </c>
      <c r="E18" s="29">
        <f t="shared" ref="E18:F18" si="14">F9/E9 - 1</f>
        <v>0.2350362502</v>
      </c>
      <c r="F18" s="29">
        <f t="shared" si="14"/>
        <v>0.242116041</v>
      </c>
      <c r="G18" s="30"/>
      <c r="H18" s="1"/>
      <c r="I18" s="1"/>
      <c r="J18" s="1"/>
      <c r="K18" s="1"/>
      <c r="L18" s="1"/>
      <c r="M18" s="1"/>
    </row>
    <row r="19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25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25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25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25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25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25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25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25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25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25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25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25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25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25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25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</sheetData>
  <drawing r:id="rId1"/>
</worksheet>
</file>